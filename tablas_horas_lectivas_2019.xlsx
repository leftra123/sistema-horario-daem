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eftra123/Documents/DAEM/tabla de horas/"/>
    </mc:Choice>
  </mc:AlternateContent>
  <xr:revisionPtr revIDLastSave="0" documentId="13_ncr:1_{BF959095-7775-2D43-82EE-CDF4BF3B65A4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Tabla 2019 (65-35)" sheetId="1" r:id="rId1"/>
    <sheet name="Tabla 2019 (60-40)" sheetId="2" r:id="rId2"/>
    <sheet name="Explicació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</calcChain>
</file>

<file path=xl/sharedStrings.xml><?xml version="1.0" encoding="utf-8"?>
<sst xmlns="http://schemas.openxmlformats.org/spreadsheetml/2006/main" count="292" uniqueCount="175">
  <si>
    <t>Jornada Semanal
(hrs cronológicas)</t>
  </si>
  <si>
    <t>Horas Lectivas
(HA)</t>
  </si>
  <si>
    <t>Horas Lectivas
(HC)</t>
  </si>
  <si>
    <t>Recreo</t>
  </si>
  <si>
    <t>Horas No Lectivas</t>
  </si>
  <si>
    <t>28 h 30 m</t>
  </si>
  <si>
    <t>3 h 0 m</t>
  </si>
  <si>
    <t>12 h 30 m</t>
  </si>
  <si>
    <t>27 h 45 m</t>
  </si>
  <si>
    <t>2 h 56 m</t>
  </si>
  <si>
    <t>12 h 19 m</t>
  </si>
  <si>
    <t>27 h 0 m</t>
  </si>
  <si>
    <t>2 h 52 m</t>
  </si>
  <si>
    <t>12 h 8 m</t>
  </si>
  <si>
    <t>26 h 15 m</t>
  </si>
  <si>
    <t>2 h 48 m</t>
  </si>
  <si>
    <t>11 h 57 m</t>
  </si>
  <si>
    <t>2 h 44 m</t>
  </si>
  <si>
    <t>11 h 1 m</t>
  </si>
  <si>
    <t>25 h 30 m</t>
  </si>
  <si>
    <t>2 h 40 m</t>
  </si>
  <si>
    <t>10 h 50 m</t>
  </si>
  <si>
    <t>24 h 45 m</t>
  </si>
  <si>
    <t>2 h 35 m</t>
  </si>
  <si>
    <t>10 h 40 m</t>
  </si>
  <si>
    <t>24 h 0 m</t>
  </si>
  <si>
    <t>2 h 31 m</t>
  </si>
  <si>
    <t>10 h 29 m</t>
  </si>
  <si>
    <t>23 h 15 m</t>
  </si>
  <si>
    <t>2 h 27 m</t>
  </si>
  <si>
    <t>10 h 18 m</t>
  </si>
  <si>
    <t>22 h 30 m</t>
  </si>
  <si>
    <t>2 h 23 m</t>
  </si>
  <si>
    <t>10 h 7 m</t>
  </si>
  <si>
    <t>21 h 45 m</t>
  </si>
  <si>
    <t>2 h 19 m</t>
  </si>
  <si>
    <t>9 h 56 m</t>
  </si>
  <si>
    <t>2 h 15 m</t>
  </si>
  <si>
    <t>9 h 0 m</t>
  </si>
  <si>
    <t>21 h 0 m</t>
  </si>
  <si>
    <t>2 h 11 m</t>
  </si>
  <si>
    <t>8 h 49 m</t>
  </si>
  <si>
    <t>20 h 15 m</t>
  </si>
  <si>
    <t>2 h 7 m</t>
  </si>
  <si>
    <t>8 h 38 m</t>
  </si>
  <si>
    <t>19 h 30 m</t>
  </si>
  <si>
    <t>2 h 3 m</t>
  </si>
  <si>
    <t>8 h 27 m</t>
  </si>
  <si>
    <t>18 h 45 m</t>
  </si>
  <si>
    <t>1 h 59 m</t>
  </si>
  <si>
    <t>8 h 16 m</t>
  </si>
  <si>
    <t>18 h 0 m</t>
  </si>
  <si>
    <t>1 h 55 m</t>
  </si>
  <si>
    <t>8 h 5 m</t>
  </si>
  <si>
    <t>17 h 15 m</t>
  </si>
  <si>
    <t>1 h 50 m</t>
  </si>
  <si>
    <t>7 h 55 m</t>
  </si>
  <si>
    <t>16 h 30 m</t>
  </si>
  <si>
    <t>1 h 46 m</t>
  </si>
  <si>
    <t>7 h 44 m</t>
  </si>
  <si>
    <t>1 h 42 m</t>
  </si>
  <si>
    <t>6 h 48 m</t>
  </si>
  <si>
    <t>15 h 45 m</t>
  </si>
  <si>
    <t>1 h 38 m</t>
  </si>
  <si>
    <t>6 h 37 m</t>
  </si>
  <si>
    <t>15 h 0 m</t>
  </si>
  <si>
    <t>1 h 34 m</t>
  </si>
  <si>
    <t>6 h 26 m</t>
  </si>
  <si>
    <t>14 h 15 m</t>
  </si>
  <si>
    <t>1 h 30 m</t>
  </si>
  <si>
    <t>6 h 15 m</t>
  </si>
  <si>
    <t>13 h 30 m</t>
  </si>
  <si>
    <t>1 h 26 m</t>
  </si>
  <si>
    <t>6 h 4 m</t>
  </si>
  <si>
    <t>12 h 45 m</t>
  </si>
  <si>
    <t>1 h 22 m</t>
  </si>
  <si>
    <t>5 h 53 m</t>
  </si>
  <si>
    <t>12 h 0 m</t>
  </si>
  <si>
    <t>1 h 18 m</t>
  </si>
  <si>
    <t>5 h 42 m</t>
  </si>
  <si>
    <t>1 h 14 m</t>
  </si>
  <si>
    <t>4 h 46 m</t>
  </si>
  <si>
    <t>11 h 15 m</t>
  </si>
  <si>
    <t>1 h 10 m</t>
  </si>
  <si>
    <t>4 h 35 m</t>
  </si>
  <si>
    <t>10 h 30 m</t>
  </si>
  <si>
    <t>1 h 5 m</t>
  </si>
  <si>
    <t>4 h 25 m</t>
  </si>
  <si>
    <t>9 h 45 m</t>
  </si>
  <si>
    <t>1 h 1 m</t>
  </si>
  <si>
    <t>4 h 14 m</t>
  </si>
  <si>
    <t>0 h 57 m</t>
  </si>
  <si>
    <t>4 h 3 m</t>
  </si>
  <si>
    <t>8 h 15 m</t>
  </si>
  <si>
    <t>0 h 53 m</t>
  </si>
  <si>
    <t>3 h 52 m</t>
  </si>
  <si>
    <t>7 h 30 m</t>
  </si>
  <si>
    <t>0 h 49 m</t>
  </si>
  <si>
    <t>3 h 41 m</t>
  </si>
  <si>
    <t>0 h 45 m</t>
  </si>
  <si>
    <t>2 h 45 m</t>
  </si>
  <si>
    <t>6 h 45 m</t>
  </si>
  <si>
    <t>0 h 41 m</t>
  </si>
  <si>
    <t>2 h 34 m</t>
  </si>
  <si>
    <t>6 h 0 m</t>
  </si>
  <si>
    <t>0 h 37 m</t>
  </si>
  <si>
    <t>5 h 15 m</t>
  </si>
  <si>
    <t>0 h 33 m</t>
  </si>
  <si>
    <t>2 h 12 m</t>
  </si>
  <si>
    <t>4 h 30 m</t>
  </si>
  <si>
    <t>0 h 29 m</t>
  </si>
  <si>
    <t>2 h 1 m</t>
  </si>
  <si>
    <t>3 h 45 m</t>
  </si>
  <si>
    <t>0 h 25 m</t>
  </si>
  <si>
    <t>0 h 20 m</t>
  </si>
  <si>
    <t>1 h 40 m</t>
  </si>
  <si>
    <t>0 h 16 m</t>
  </si>
  <si>
    <t>1 h 29 m</t>
  </si>
  <si>
    <t>0 h 12 m</t>
  </si>
  <si>
    <t>0 h 8 m</t>
  </si>
  <si>
    <t>0 h 22 m</t>
  </si>
  <si>
    <t>0 h 4 m</t>
  </si>
  <si>
    <t>0 h 11 m</t>
  </si>
  <si>
    <t>Proporción 65/35: Art. Cuarto Transitorio Ley Nº 20.903. HA = Horas Aula, HC = Horas Cronológicas</t>
  </si>
  <si>
    <t>14 h 45 m</t>
  </si>
  <si>
    <t>14 h 34 m</t>
  </si>
  <si>
    <t>14 h 23 m</t>
  </si>
  <si>
    <t>13 h 27 m</t>
  </si>
  <si>
    <t>13 h 16 m</t>
  </si>
  <si>
    <t>13 h 5 m</t>
  </si>
  <si>
    <t>12 h 55 m</t>
  </si>
  <si>
    <t>12 h 44 m</t>
  </si>
  <si>
    <t>11 h 48 m</t>
  </si>
  <si>
    <t>11 h 37 m</t>
  </si>
  <si>
    <t>11 h 26 m</t>
  </si>
  <si>
    <t>11 h 4 m</t>
  </si>
  <si>
    <t>10 h 8 m</t>
  </si>
  <si>
    <t>9 h 57 m</t>
  </si>
  <si>
    <t>9 h 46 m</t>
  </si>
  <si>
    <t>9 h 35 m</t>
  </si>
  <si>
    <t>9 h 25 m</t>
  </si>
  <si>
    <t>8 h 29 m</t>
  </si>
  <si>
    <t>8 h 18 m</t>
  </si>
  <si>
    <t>8 h 7 m</t>
  </si>
  <si>
    <t>7 h 56 m</t>
  </si>
  <si>
    <t>7 h 0 m</t>
  </si>
  <si>
    <t>6 h 49 m</t>
  </si>
  <si>
    <t>6 h 38 m</t>
  </si>
  <si>
    <t>6 h 27 m</t>
  </si>
  <si>
    <t>6 h 16 m</t>
  </si>
  <si>
    <t>5 h 20 m</t>
  </si>
  <si>
    <t>5 h 10 m</t>
  </si>
  <si>
    <t>4 h 59 m</t>
  </si>
  <si>
    <t>4 h 48 m</t>
  </si>
  <si>
    <t>4 h 37 m</t>
  </si>
  <si>
    <t>3 h 30 m</t>
  </si>
  <si>
    <t>3 h 19 m</t>
  </si>
  <si>
    <t>3 h 8 m</t>
  </si>
  <si>
    <t>2 h 57 m</t>
  </si>
  <si>
    <t>Proporción 60/40: Para docentes de primer ciclo básico en establecimientos con más de 80% de alumnos prioritarios</t>
  </si>
  <si>
    <t>EXPLICACIÓN DE LAS PROPORCIONES</t>
  </si>
  <si>
    <t>¿Qué significa 65/35?</t>
  </si>
  <si>
    <t>El 65% de la jornada se destina a horas lectivas (docencia directa frente a alumnos).</t>
  </si>
  <si>
    <t>El 35% restante se destina a horas no lectivas (planificación, evaluación, trabajo colaborativo, etc.).</t>
  </si>
  <si>
    <t>¿Qué significa 60/40?</t>
  </si>
  <si>
    <t>El 60% de la jornada se destina a horas lectivas.</t>
  </si>
  <si>
    <t>El 40% restante se destina a horas no lectivas.</t>
  </si>
  <si>
    <t>Esta proporción aplica SOLO para docentes de primer ciclo básico en establecimientos con más de 80% de alumnos prioritarios.</t>
  </si>
  <si>
    <t>Definiciones:</t>
  </si>
  <si>
    <t>• Horas Lectivas (HA): Horas aula - tiempo efectivo frente a estudiantes</t>
  </si>
  <si>
    <t>• Horas Lectivas (HC): Horas cronológicas - incluye los minutos de cada hora pedagógica</t>
  </si>
  <si>
    <t>• Recreo: Tiempo de recreo asociado a las horas lectivas</t>
  </si>
  <si>
    <t>• Horas No Lectivas: Tiempo para planificación, evaluación, reuniones, capacitación, etc.</t>
  </si>
  <si>
    <t>Marco Legal: Ley Nº 20.903 - Sistema de Desarrollo Profesional Docente</t>
  </si>
  <si>
    <t>Hora no lectivas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</si>
</sst>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i/>
      <sz val="11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18" customWidth="1"/>
    <col min="4" max="4" width="12" customWidth="1"/>
    <col min="5" max="5" width="18" customWidth="1"/>
  </cols>
  <sheetData>
    <row r="1" spans="1:6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174</v>
      </c>
    </row>
    <row r="2" spans="1:6" x14ac:dyDescent="0.2">
      <c r="A2" s="2">
        <v>44</v>
      </c>
      <c r="B2" s="2">
        <v>38</v>
      </c>
      <c r="C2" s="2" t="s">
        <v>5</v>
      </c>
      <c r="D2" s="2" t="s">
        <v>6</v>
      </c>
      <c r="E2" s="2" t="s">
        <v>7</v>
      </c>
      <c r="F2">
        <f>A2-B2</f>
        <v>6</v>
      </c>
    </row>
    <row r="3" spans="1:6" x14ac:dyDescent="0.2">
      <c r="A3" s="3">
        <v>43</v>
      </c>
      <c r="B3" s="3">
        <v>37</v>
      </c>
      <c r="C3" s="3" t="s">
        <v>8</v>
      </c>
      <c r="D3" s="3" t="s">
        <v>9</v>
      </c>
      <c r="E3" s="3" t="s">
        <v>10</v>
      </c>
      <c r="F3">
        <f t="shared" ref="F3:F45" si="0">A3-B3</f>
        <v>6</v>
      </c>
    </row>
    <row r="4" spans="1:6" x14ac:dyDescent="0.2">
      <c r="A4" s="2">
        <v>42</v>
      </c>
      <c r="B4" s="2">
        <v>36</v>
      </c>
      <c r="C4" s="2" t="s">
        <v>11</v>
      </c>
      <c r="D4" s="2" t="s">
        <v>12</v>
      </c>
      <c r="E4" s="2" t="s">
        <v>13</v>
      </c>
      <c r="F4">
        <f t="shared" si="0"/>
        <v>6</v>
      </c>
    </row>
    <row r="5" spans="1:6" x14ac:dyDescent="0.2">
      <c r="A5" s="3">
        <v>41</v>
      </c>
      <c r="B5" s="3">
        <v>35</v>
      </c>
      <c r="C5" s="3" t="s">
        <v>14</v>
      </c>
      <c r="D5" s="3" t="s">
        <v>15</v>
      </c>
      <c r="E5" s="3" t="s">
        <v>16</v>
      </c>
      <c r="F5">
        <f t="shared" si="0"/>
        <v>6</v>
      </c>
    </row>
    <row r="6" spans="1:6" x14ac:dyDescent="0.2">
      <c r="A6" s="2">
        <v>40</v>
      </c>
      <c r="B6" s="2">
        <v>35</v>
      </c>
      <c r="C6" s="2" t="s">
        <v>14</v>
      </c>
      <c r="D6" s="2" t="s">
        <v>17</v>
      </c>
      <c r="E6" s="2" t="s">
        <v>18</v>
      </c>
      <c r="F6">
        <f t="shared" si="0"/>
        <v>5</v>
      </c>
    </row>
    <row r="7" spans="1:6" x14ac:dyDescent="0.2">
      <c r="A7" s="3">
        <v>39</v>
      </c>
      <c r="B7" s="3">
        <v>34</v>
      </c>
      <c r="C7" s="3" t="s">
        <v>19</v>
      </c>
      <c r="D7" s="3" t="s">
        <v>20</v>
      </c>
      <c r="E7" s="3" t="s">
        <v>21</v>
      </c>
      <c r="F7">
        <f t="shared" si="0"/>
        <v>5</v>
      </c>
    </row>
    <row r="8" spans="1:6" x14ac:dyDescent="0.2">
      <c r="A8" s="2">
        <v>38</v>
      </c>
      <c r="B8" s="2">
        <v>33</v>
      </c>
      <c r="C8" s="2" t="s">
        <v>22</v>
      </c>
      <c r="D8" s="2" t="s">
        <v>23</v>
      </c>
      <c r="E8" s="2" t="s">
        <v>24</v>
      </c>
      <c r="F8">
        <f t="shared" si="0"/>
        <v>5</v>
      </c>
    </row>
    <row r="9" spans="1:6" x14ac:dyDescent="0.2">
      <c r="A9" s="3">
        <v>37</v>
      </c>
      <c r="B9" s="3">
        <v>32</v>
      </c>
      <c r="C9" s="3" t="s">
        <v>25</v>
      </c>
      <c r="D9" s="3" t="s">
        <v>26</v>
      </c>
      <c r="E9" s="3" t="s">
        <v>27</v>
      </c>
      <c r="F9">
        <f t="shared" si="0"/>
        <v>5</v>
      </c>
    </row>
    <row r="10" spans="1:6" x14ac:dyDescent="0.2">
      <c r="A10" s="2">
        <v>36</v>
      </c>
      <c r="B10" s="2">
        <v>31</v>
      </c>
      <c r="C10" s="2" t="s">
        <v>28</v>
      </c>
      <c r="D10" s="2" t="s">
        <v>29</v>
      </c>
      <c r="E10" s="2" t="s">
        <v>30</v>
      </c>
      <c r="F10">
        <f t="shared" si="0"/>
        <v>5</v>
      </c>
    </row>
    <row r="11" spans="1:6" x14ac:dyDescent="0.2">
      <c r="A11" s="3">
        <v>35</v>
      </c>
      <c r="B11" s="3">
        <v>30</v>
      </c>
      <c r="C11" s="3" t="s">
        <v>31</v>
      </c>
      <c r="D11" s="3" t="s">
        <v>32</v>
      </c>
      <c r="E11" s="3" t="s">
        <v>33</v>
      </c>
      <c r="F11">
        <f t="shared" si="0"/>
        <v>5</v>
      </c>
    </row>
    <row r="12" spans="1:6" x14ac:dyDescent="0.2">
      <c r="A12" s="2">
        <v>34</v>
      </c>
      <c r="B12" s="2">
        <v>29</v>
      </c>
      <c r="C12" s="2" t="s">
        <v>34</v>
      </c>
      <c r="D12" s="2" t="s">
        <v>35</v>
      </c>
      <c r="E12" s="2" t="s">
        <v>36</v>
      </c>
      <c r="F12">
        <f t="shared" si="0"/>
        <v>5</v>
      </c>
    </row>
    <row r="13" spans="1:6" x14ac:dyDescent="0.2">
      <c r="A13" s="3">
        <v>33</v>
      </c>
      <c r="B13" s="3">
        <v>29</v>
      </c>
      <c r="C13" s="3" t="s">
        <v>34</v>
      </c>
      <c r="D13" s="3" t="s">
        <v>37</v>
      </c>
      <c r="E13" s="3" t="s">
        <v>38</v>
      </c>
      <c r="F13">
        <f t="shared" si="0"/>
        <v>4</v>
      </c>
    </row>
    <row r="14" spans="1:6" x14ac:dyDescent="0.2">
      <c r="A14" s="2">
        <v>32</v>
      </c>
      <c r="B14" s="2">
        <v>28</v>
      </c>
      <c r="C14" s="2" t="s">
        <v>39</v>
      </c>
      <c r="D14" s="2" t="s">
        <v>40</v>
      </c>
      <c r="E14" s="2" t="s">
        <v>41</v>
      </c>
      <c r="F14">
        <f t="shared" si="0"/>
        <v>4</v>
      </c>
    </row>
    <row r="15" spans="1:6" x14ac:dyDescent="0.2">
      <c r="A15" s="3">
        <v>31</v>
      </c>
      <c r="B15" s="3">
        <v>27</v>
      </c>
      <c r="C15" s="3" t="s">
        <v>42</v>
      </c>
      <c r="D15" s="3" t="s">
        <v>43</v>
      </c>
      <c r="E15" s="3" t="s">
        <v>44</v>
      </c>
      <c r="F15">
        <f t="shared" si="0"/>
        <v>4</v>
      </c>
    </row>
    <row r="16" spans="1:6" x14ac:dyDescent="0.2">
      <c r="A16" s="2">
        <v>30</v>
      </c>
      <c r="B16" s="2">
        <v>26</v>
      </c>
      <c r="C16" s="2" t="s">
        <v>45</v>
      </c>
      <c r="D16" s="2" t="s">
        <v>46</v>
      </c>
      <c r="E16" s="2" t="s">
        <v>47</v>
      </c>
      <c r="F16">
        <f t="shared" si="0"/>
        <v>4</v>
      </c>
    </row>
    <row r="17" spans="1:6" x14ac:dyDescent="0.2">
      <c r="A17" s="3">
        <v>29</v>
      </c>
      <c r="B17" s="3">
        <v>25</v>
      </c>
      <c r="C17" s="3" t="s">
        <v>48</v>
      </c>
      <c r="D17" s="3" t="s">
        <v>49</v>
      </c>
      <c r="E17" s="3" t="s">
        <v>50</v>
      </c>
      <c r="F17">
        <f t="shared" si="0"/>
        <v>4</v>
      </c>
    </row>
    <row r="18" spans="1:6" x14ac:dyDescent="0.2">
      <c r="A18" s="2">
        <v>28</v>
      </c>
      <c r="B18" s="2">
        <v>24</v>
      </c>
      <c r="C18" s="2" t="s">
        <v>51</v>
      </c>
      <c r="D18" s="2" t="s">
        <v>52</v>
      </c>
      <c r="E18" s="2" t="s">
        <v>53</v>
      </c>
      <c r="F18">
        <f t="shared" si="0"/>
        <v>4</v>
      </c>
    </row>
    <row r="19" spans="1:6" x14ac:dyDescent="0.2">
      <c r="A19" s="3">
        <v>27</v>
      </c>
      <c r="B19" s="3">
        <v>23</v>
      </c>
      <c r="C19" s="3" t="s">
        <v>54</v>
      </c>
      <c r="D19" s="3" t="s">
        <v>55</v>
      </c>
      <c r="E19" s="3" t="s">
        <v>56</v>
      </c>
      <c r="F19">
        <f t="shared" si="0"/>
        <v>4</v>
      </c>
    </row>
    <row r="20" spans="1:6" x14ac:dyDescent="0.2">
      <c r="A20" s="2">
        <v>26</v>
      </c>
      <c r="B20" s="2">
        <v>22</v>
      </c>
      <c r="C20" s="2" t="s">
        <v>57</v>
      </c>
      <c r="D20" s="2" t="s">
        <v>58</v>
      </c>
      <c r="E20" s="2" t="s">
        <v>59</v>
      </c>
      <c r="F20">
        <f t="shared" si="0"/>
        <v>4</v>
      </c>
    </row>
    <row r="21" spans="1:6" x14ac:dyDescent="0.2">
      <c r="A21" s="3">
        <v>25</v>
      </c>
      <c r="B21" s="3">
        <v>22</v>
      </c>
      <c r="C21" s="3" t="s">
        <v>57</v>
      </c>
      <c r="D21" s="3" t="s">
        <v>60</v>
      </c>
      <c r="E21" s="3" t="s">
        <v>61</v>
      </c>
      <c r="F21">
        <f t="shared" si="0"/>
        <v>3</v>
      </c>
    </row>
    <row r="22" spans="1:6" x14ac:dyDescent="0.2">
      <c r="A22" s="2">
        <v>24</v>
      </c>
      <c r="B22" s="2">
        <v>21</v>
      </c>
      <c r="C22" s="2" t="s">
        <v>62</v>
      </c>
      <c r="D22" s="2" t="s">
        <v>63</v>
      </c>
      <c r="E22" s="2" t="s">
        <v>64</v>
      </c>
      <c r="F22">
        <f t="shared" si="0"/>
        <v>3</v>
      </c>
    </row>
    <row r="23" spans="1:6" x14ac:dyDescent="0.2">
      <c r="A23" s="3">
        <v>23</v>
      </c>
      <c r="B23" s="3">
        <v>20</v>
      </c>
      <c r="C23" s="3" t="s">
        <v>65</v>
      </c>
      <c r="D23" s="3" t="s">
        <v>66</v>
      </c>
      <c r="E23" s="3" t="s">
        <v>67</v>
      </c>
      <c r="F23">
        <f t="shared" si="0"/>
        <v>3</v>
      </c>
    </row>
    <row r="24" spans="1:6" x14ac:dyDescent="0.2">
      <c r="A24" s="2">
        <v>22</v>
      </c>
      <c r="B24" s="2">
        <v>19</v>
      </c>
      <c r="C24" s="2" t="s">
        <v>68</v>
      </c>
      <c r="D24" s="2" t="s">
        <v>69</v>
      </c>
      <c r="E24" s="2" t="s">
        <v>70</v>
      </c>
      <c r="F24">
        <f t="shared" si="0"/>
        <v>3</v>
      </c>
    </row>
    <row r="25" spans="1:6" x14ac:dyDescent="0.2">
      <c r="A25" s="3">
        <v>21</v>
      </c>
      <c r="B25" s="3">
        <v>18</v>
      </c>
      <c r="C25" s="3" t="s">
        <v>71</v>
      </c>
      <c r="D25" s="3" t="s">
        <v>72</v>
      </c>
      <c r="E25" s="3" t="s">
        <v>73</v>
      </c>
      <c r="F25">
        <f t="shared" si="0"/>
        <v>3</v>
      </c>
    </row>
    <row r="26" spans="1:6" x14ac:dyDescent="0.2">
      <c r="A26" s="2">
        <v>20</v>
      </c>
      <c r="B26" s="2">
        <v>17</v>
      </c>
      <c r="C26" s="2" t="s">
        <v>74</v>
      </c>
      <c r="D26" s="2" t="s">
        <v>75</v>
      </c>
      <c r="E26" s="2" t="s">
        <v>76</v>
      </c>
      <c r="F26">
        <f t="shared" si="0"/>
        <v>3</v>
      </c>
    </row>
    <row r="27" spans="1:6" x14ac:dyDescent="0.2">
      <c r="A27" s="3">
        <v>19</v>
      </c>
      <c r="B27" s="3">
        <v>16</v>
      </c>
      <c r="C27" s="3" t="s">
        <v>77</v>
      </c>
      <c r="D27" s="3" t="s">
        <v>78</v>
      </c>
      <c r="E27" s="3" t="s">
        <v>79</v>
      </c>
      <c r="F27">
        <f t="shared" si="0"/>
        <v>3</v>
      </c>
    </row>
    <row r="28" spans="1:6" x14ac:dyDescent="0.2">
      <c r="A28" s="2">
        <v>18</v>
      </c>
      <c r="B28" s="2">
        <v>16</v>
      </c>
      <c r="C28" s="2" t="s">
        <v>77</v>
      </c>
      <c r="D28" s="2" t="s">
        <v>80</v>
      </c>
      <c r="E28" s="2" t="s">
        <v>81</v>
      </c>
      <c r="F28">
        <f t="shared" si="0"/>
        <v>2</v>
      </c>
    </row>
    <row r="29" spans="1:6" x14ac:dyDescent="0.2">
      <c r="A29" s="3">
        <v>17</v>
      </c>
      <c r="B29" s="3">
        <v>15</v>
      </c>
      <c r="C29" s="3" t="s">
        <v>82</v>
      </c>
      <c r="D29" s="3" t="s">
        <v>83</v>
      </c>
      <c r="E29" s="3" t="s">
        <v>84</v>
      </c>
      <c r="F29">
        <f t="shared" si="0"/>
        <v>2</v>
      </c>
    </row>
    <row r="30" spans="1:6" x14ac:dyDescent="0.2">
      <c r="A30" s="2">
        <v>16</v>
      </c>
      <c r="B30" s="2">
        <v>14</v>
      </c>
      <c r="C30" s="2" t="s">
        <v>85</v>
      </c>
      <c r="D30" s="2" t="s">
        <v>86</v>
      </c>
      <c r="E30" s="2" t="s">
        <v>87</v>
      </c>
      <c r="F30">
        <f t="shared" si="0"/>
        <v>2</v>
      </c>
    </row>
    <row r="31" spans="1:6" x14ac:dyDescent="0.2">
      <c r="A31" s="3">
        <v>15</v>
      </c>
      <c r="B31" s="3">
        <v>13</v>
      </c>
      <c r="C31" s="3" t="s">
        <v>88</v>
      </c>
      <c r="D31" s="3" t="s">
        <v>89</v>
      </c>
      <c r="E31" s="3" t="s">
        <v>90</v>
      </c>
      <c r="F31">
        <f t="shared" si="0"/>
        <v>2</v>
      </c>
    </row>
    <row r="32" spans="1:6" x14ac:dyDescent="0.2">
      <c r="A32" s="2">
        <v>14</v>
      </c>
      <c r="B32" s="2">
        <v>12</v>
      </c>
      <c r="C32" s="2" t="s">
        <v>38</v>
      </c>
      <c r="D32" s="2" t="s">
        <v>91</v>
      </c>
      <c r="E32" s="2" t="s">
        <v>92</v>
      </c>
      <c r="F32">
        <f t="shared" si="0"/>
        <v>2</v>
      </c>
    </row>
    <row r="33" spans="1:6" x14ac:dyDescent="0.2">
      <c r="A33" s="3">
        <v>13</v>
      </c>
      <c r="B33" s="3">
        <v>11</v>
      </c>
      <c r="C33" s="3" t="s">
        <v>93</v>
      </c>
      <c r="D33" s="3" t="s">
        <v>94</v>
      </c>
      <c r="E33" s="3" t="s">
        <v>95</v>
      </c>
      <c r="F33">
        <f t="shared" si="0"/>
        <v>2</v>
      </c>
    </row>
    <row r="34" spans="1:6" x14ac:dyDescent="0.2">
      <c r="A34" s="2">
        <v>12</v>
      </c>
      <c r="B34" s="2">
        <v>10</v>
      </c>
      <c r="C34" s="2" t="s">
        <v>96</v>
      </c>
      <c r="D34" s="2" t="s">
        <v>97</v>
      </c>
      <c r="E34" s="2" t="s">
        <v>98</v>
      </c>
      <c r="F34">
        <f t="shared" si="0"/>
        <v>2</v>
      </c>
    </row>
    <row r="35" spans="1:6" x14ac:dyDescent="0.2">
      <c r="A35" s="3">
        <v>11</v>
      </c>
      <c r="B35" s="3">
        <v>10</v>
      </c>
      <c r="C35" s="3" t="s">
        <v>96</v>
      </c>
      <c r="D35" s="3" t="s">
        <v>99</v>
      </c>
      <c r="E35" s="3" t="s">
        <v>100</v>
      </c>
      <c r="F35">
        <f t="shared" si="0"/>
        <v>1</v>
      </c>
    </row>
    <row r="36" spans="1:6" x14ac:dyDescent="0.2">
      <c r="A36" s="2">
        <v>10</v>
      </c>
      <c r="B36" s="2">
        <v>9</v>
      </c>
      <c r="C36" s="2" t="s">
        <v>101</v>
      </c>
      <c r="D36" s="2" t="s">
        <v>102</v>
      </c>
      <c r="E36" s="2" t="s">
        <v>103</v>
      </c>
      <c r="F36">
        <f t="shared" si="0"/>
        <v>1</v>
      </c>
    </row>
    <row r="37" spans="1:6" x14ac:dyDescent="0.2">
      <c r="A37" s="3">
        <v>9</v>
      </c>
      <c r="B37" s="3">
        <v>8</v>
      </c>
      <c r="C37" s="3" t="s">
        <v>104</v>
      </c>
      <c r="D37" s="3" t="s">
        <v>105</v>
      </c>
      <c r="E37" s="3" t="s">
        <v>32</v>
      </c>
      <c r="F37">
        <f t="shared" si="0"/>
        <v>1</v>
      </c>
    </row>
    <row r="38" spans="1:6" x14ac:dyDescent="0.2">
      <c r="A38" s="2">
        <v>8</v>
      </c>
      <c r="B38" s="2">
        <v>7</v>
      </c>
      <c r="C38" s="2" t="s">
        <v>106</v>
      </c>
      <c r="D38" s="2" t="s">
        <v>107</v>
      </c>
      <c r="E38" s="2" t="s">
        <v>108</v>
      </c>
      <c r="F38">
        <f t="shared" si="0"/>
        <v>1</v>
      </c>
    </row>
    <row r="39" spans="1:6" x14ac:dyDescent="0.2">
      <c r="A39" s="3">
        <v>7</v>
      </c>
      <c r="B39" s="3">
        <v>6</v>
      </c>
      <c r="C39" s="3" t="s">
        <v>109</v>
      </c>
      <c r="D39" s="3" t="s">
        <v>110</v>
      </c>
      <c r="E39" s="3" t="s">
        <v>111</v>
      </c>
      <c r="F39">
        <f t="shared" si="0"/>
        <v>1</v>
      </c>
    </row>
    <row r="40" spans="1:6" x14ac:dyDescent="0.2">
      <c r="A40" s="2">
        <v>6</v>
      </c>
      <c r="B40" s="2">
        <v>5</v>
      </c>
      <c r="C40" s="2" t="s">
        <v>112</v>
      </c>
      <c r="D40" s="2" t="s">
        <v>113</v>
      </c>
      <c r="E40" s="2" t="s">
        <v>55</v>
      </c>
      <c r="F40">
        <f t="shared" si="0"/>
        <v>1</v>
      </c>
    </row>
    <row r="41" spans="1:6" x14ac:dyDescent="0.2">
      <c r="A41" s="3">
        <v>5</v>
      </c>
      <c r="B41" s="3">
        <v>4</v>
      </c>
      <c r="C41" s="3" t="s">
        <v>6</v>
      </c>
      <c r="D41" s="3" t="s">
        <v>114</v>
      </c>
      <c r="E41" s="3" t="s">
        <v>115</v>
      </c>
      <c r="F41">
        <f t="shared" si="0"/>
        <v>1</v>
      </c>
    </row>
    <row r="42" spans="1:6" x14ac:dyDescent="0.2">
      <c r="A42" s="2">
        <v>4</v>
      </c>
      <c r="B42" s="2">
        <v>3</v>
      </c>
      <c r="C42" s="2" t="s">
        <v>37</v>
      </c>
      <c r="D42" s="2" t="s">
        <v>116</v>
      </c>
      <c r="E42" s="2" t="s">
        <v>117</v>
      </c>
      <c r="F42">
        <f t="shared" si="0"/>
        <v>1</v>
      </c>
    </row>
    <row r="43" spans="1:6" x14ac:dyDescent="0.2">
      <c r="A43" s="3">
        <v>3</v>
      </c>
      <c r="B43" s="3">
        <v>3</v>
      </c>
      <c r="C43" s="3" t="s">
        <v>37</v>
      </c>
      <c r="D43" s="3" t="s">
        <v>118</v>
      </c>
      <c r="E43" s="3" t="s">
        <v>107</v>
      </c>
      <c r="F43">
        <f t="shared" si="0"/>
        <v>0</v>
      </c>
    </row>
    <row r="44" spans="1:6" x14ac:dyDescent="0.2">
      <c r="A44" s="2">
        <v>2</v>
      </c>
      <c r="B44" s="2">
        <v>2</v>
      </c>
      <c r="C44" s="2" t="s">
        <v>69</v>
      </c>
      <c r="D44" s="2" t="s">
        <v>119</v>
      </c>
      <c r="E44" s="2" t="s">
        <v>120</v>
      </c>
      <c r="F44">
        <f t="shared" si="0"/>
        <v>0</v>
      </c>
    </row>
    <row r="45" spans="1:6" x14ac:dyDescent="0.2">
      <c r="A45" s="3">
        <v>1</v>
      </c>
      <c r="B45" s="3">
        <v>1</v>
      </c>
      <c r="C45" s="3" t="s">
        <v>99</v>
      </c>
      <c r="D45" s="3" t="s">
        <v>121</v>
      </c>
      <c r="E45" s="3" t="s">
        <v>122</v>
      </c>
      <c r="F45">
        <f t="shared" si="0"/>
        <v>0</v>
      </c>
    </row>
    <row r="47" spans="1:6" x14ac:dyDescent="0.2">
      <c r="A47" s="7" t="s">
        <v>123</v>
      </c>
      <c r="B47" s="7"/>
      <c r="C47" s="7"/>
      <c r="D47" s="7"/>
      <c r="E47" s="7"/>
    </row>
  </sheetData>
  <mergeCells count="1">
    <mergeCell ref="A47:E47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20" customWidth="1"/>
    <col min="2" max="2" width="15" customWidth="1"/>
    <col min="3" max="3" width="18" customWidth="1"/>
    <col min="4" max="4" width="12" customWidth="1"/>
    <col min="5" max="5" width="18" customWidth="1"/>
  </cols>
  <sheetData>
    <row r="1" spans="1:6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174</v>
      </c>
    </row>
    <row r="2" spans="1:6" x14ac:dyDescent="0.2">
      <c r="A2" s="2">
        <v>44</v>
      </c>
      <c r="B2" s="2">
        <v>35</v>
      </c>
      <c r="C2" s="2" t="s">
        <v>14</v>
      </c>
      <c r="D2" s="2" t="s">
        <v>6</v>
      </c>
      <c r="E2" s="2" t="s">
        <v>124</v>
      </c>
      <c r="F2">
        <f>A2-B2</f>
        <v>9</v>
      </c>
    </row>
    <row r="3" spans="1:6" x14ac:dyDescent="0.2">
      <c r="A3" s="3">
        <v>43</v>
      </c>
      <c r="B3" s="3">
        <v>34</v>
      </c>
      <c r="C3" s="3" t="s">
        <v>19</v>
      </c>
      <c r="D3" s="3" t="s">
        <v>9</v>
      </c>
      <c r="E3" s="3" t="s">
        <v>125</v>
      </c>
      <c r="F3">
        <f t="shared" ref="F3:F45" si="0">A3-B3</f>
        <v>9</v>
      </c>
    </row>
    <row r="4" spans="1:6" x14ac:dyDescent="0.2">
      <c r="A4" s="2">
        <v>42</v>
      </c>
      <c r="B4" s="2">
        <v>33</v>
      </c>
      <c r="C4" s="2" t="s">
        <v>22</v>
      </c>
      <c r="D4" s="2" t="s">
        <v>12</v>
      </c>
      <c r="E4" s="2" t="s">
        <v>126</v>
      </c>
      <c r="F4">
        <f t="shared" si="0"/>
        <v>9</v>
      </c>
    </row>
    <row r="5" spans="1:6" x14ac:dyDescent="0.2">
      <c r="A5" s="3">
        <v>41</v>
      </c>
      <c r="B5" s="3">
        <v>33</v>
      </c>
      <c r="C5" s="3" t="s">
        <v>22</v>
      </c>
      <c r="D5" s="3" t="s">
        <v>15</v>
      </c>
      <c r="E5" s="3" t="s">
        <v>127</v>
      </c>
      <c r="F5">
        <f t="shared" si="0"/>
        <v>8</v>
      </c>
    </row>
    <row r="6" spans="1:6" x14ac:dyDescent="0.2">
      <c r="A6" s="2">
        <v>40</v>
      </c>
      <c r="B6" s="2">
        <v>32</v>
      </c>
      <c r="C6" s="2" t="s">
        <v>25</v>
      </c>
      <c r="D6" s="2" t="s">
        <v>17</v>
      </c>
      <c r="E6" s="2" t="s">
        <v>128</v>
      </c>
      <c r="F6">
        <f t="shared" si="0"/>
        <v>8</v>
      </c>
    </row>
    <row r="7" spans="1:6" x14ac:dyDescent="0.2">
      <c r="A7" s="3">
        <v>39</v>
      </c>
      <c r="B7" s="3">
        <v>31</v>
      </c>
      <c r="C7" s="3" t="s">
        <v>28</v>
      </c>
      <c r="D7" s="3" t="s">
        <v>20</v>
      </c>
      <c r="E7" s="3" t="s">
        <v>129</v>
      </c>
      <c r="F7">
        <f t="shared" si="0"/>
        <v>8</v>
      </c>
    </row>
    <row r="8" spans="1:6" x14ac:dyDescent="0.2">
      <c r="A8" s="2">
        <v>38</v>
      </c>
      <c r="B8" s="2">
        <v>30</v>
      </c>
      <c r="C8" s="2" t="s">
        <v>31</v>
      </c>
      <c r="D8" s="2" t="s">
        <v>23</v>
      </c>
      <c r="E8" s="2" t="s">
        <v>130</v>
      </c>
      <c r="F8">
        <f t="shared" si="0"/>
        <v>8</v>
      </c>
    </row>
    <row r="9" spans="1:6" x14ac:dyDescent="0.2">
      <c r="A9" s="3">
        <v>37</v>
      </c>
      <c r="B9" s="3">
        <v>29</v>
      </c>
      <c r="C9" s="3" t="s">
        <v>34</v>
      </c>
      <c r="D9" s="3" t="s">
        <v>26</v>
      </c>
      <c r="E9" s="3" t="s">
        <v>131</v>
      </c>
      <c r="F9">
        <f t="shared" si="0"/>
        <v>8</v>
      </c>
    </row>
    <row r="10" spans="1:6" x14ac:dyDescent="0.2">
      <c r="A10" s="2">
        <v>36</v>
      </c>
      <c r="B10" s="2">
        <v>29</v>
      </c>
      <c r="C10" s="2" t="s">
        <v>34</v>
      </c>
      <c r="D10" s="2" t="s">
        <v>29</v>
      </c>
      <c r="E10" s="2" t="s">
        <v>132</v>
      </c>
      <c r="F10">
        <f t="shared" si="0"/>
        <v>7</v>
      </c>
    </row>
    <row r="11" spans="1:6" x14ac:dyDescent="0.2">
      <c r="A11" s="3">
        <v>35</v>
      </c>
      <c r="B11" s="3">
        <v>28</v>
      </c>
      <c r="C11" s="3" t="s">
        <v>39</v>
      </c>
      <c r="D11" s="3" t="s">
        <v>32</v>
      </c>
      <c r="E11" s="3" t="s">
        <v>133</v>
      </c>
      <c r="F11">
        <f t="shared" si="0"/>
        <v>7</v>
      </c>
    </row>
    <row r="12" spans="1:6" x14ac:dyDescent="0.2">
      <c r="A12" s="2">
        <v>34</v>
      </c>
      <c r="B12" s="2">
        <v>27</v>
      </c>
      <c r="C12" s="2" t="s">
        <v>42</v>
      </c>
      <c r="D12" s="2" t="s">
        <v>35</v>
      </c>
      <c r="E12" s="2" t="s">
        <v>134</v>
      </c>
      <c r="F12">
        <f t="shared" si="0"/>
        <v>7</v>
      </c>
    </row>
    <row r="13" spans="1:6" x14ac:dyDescent="0.2">
      <c r="A13" s="3">
        <v>33</v>
      </c>
      <c r="B13" s="3">
        <v>26</v>
      </c>
      <c r="C13" s="3" t="s">
        <v>45</v>
      </c>
      <c r="D13" s="3" t="s">
        <v>37</v>
      </c>
      <c r="E13" s="3" t="s">
        <v>82</v>
      </c>
      <c r="F13">
        <f t="shared" si="0"/>
        <v>7</v>
      </c>
    </row>
    <row r="14" spans="1:6" x14ac:dyDescent="0.2">
      <c r="A14" s="2">
        <v>32</v>
      </c>
      <c r="B14" s="2">
        <v>25</v>
      </c>
      <c r="C14" s="2" t="s">
        <v>48</v>
      </c>
      <c r="D14" s="2" t="s">
        <v>40</v>
      </c>
      <c r="E14" s="2" t="s">
        <v>135</v>
      </c>
      <c r="F14">
        <f t="shared" si="0"/>
        <v>7</v>
      </c>
    </row>
    <row r="15" spans="1:6" x14ac:dyDescent="0.2">
      <c r="A15" s="3">
        <v>31</v>
      </c>
      <c r="B15" s="3">
        <v>25</v>
      </c>
      <c r="C15" s="3" t="s">
        <v>48</v>
      </c>
      <c r="D15" s="3" t="s">
        <v>43</v>
      </c>
      <c r="E15" s="3" t="s">
        <v>136</v>
      </c>
      <c r="F15">
        <f t="shared" si="0"/>
        <v>6</v>
      </c>
    </row>
    <row r="16" spans="1:6" x14ac:dyDescent="0.2">
      <c r="A16" s="2">
        <v>30</v>
      </c>
      <c r="B16" s="2">
        <v>24</v>
      </c>
      <c r="C16" s="2" t="s">
        <v>51</v>
      </c>
      <c r="D16" s="2" t="s">
        <v>46</v>
      </c>
      <c r="E16" s="2" t="s">
        <v>137</v>
      </c>
      <c r="F16">
        <f t="shared" si="0"/>
        <v>6</v>
      </c>
    </row>
    <row r="17" spans="1:6" x14ac:dyDescent="0.2">
      <c r="A17" s="3">
        <v>29</v>
      </c>
      <c r="B17" s="3">
        <v>23</v>
      </c>
      <c r="C17" s="3" t="s">
        <v>54</v>
      </c>
      <c r="D17" s="3" t="s">
        <v>49</v>
      </c>
      <c r="E17" s="3" t="s">
        <v>138</v>
      </c>
      <c r="F17">
        <f t="shared" si="0"/>
        <v>6</v>
      </c>
    </row>
    <row r="18" spans="1:6" x14ac:dyDescent="0.2">
      <c r="A18" s="2">
        <v>28</v>
      </c>
      <c r="B18" s="2">
        <v>22</v>
      </c>
      <c r="C18" s="2" t="s">
        <v>57</v>
      </c>
      <c r="D18" s="2" t="s">
        <v>52</v>
      </c>
      <c r="E18" s="2" t="s">
        <v>139</v>
      </c>
      <c r="F18">
        <f t="shared" si="0"/>
        <v>6</v>
      </c>
    </row>
    <row r="19" spans="1:6" x14ac:dyDescent="0.2">
      <c r="A19" s="3">
        <v>27</v>
      </c>
      <c r="B19" s="3">
        <v>21</v>
      </c>
      <c r="C19" s="3" t="s">
        <v>62</v>
      </c>
      <c r="D19" s="3" t="s">
        <v>55</v>
      </c>
      <c r="E19" s="3" t="s">
        <v>140</v>
      </c>
      <c r="F19">
        <f t="shared" si="0"/>
        <v>6</v>
      </c>
    </row>
    <row r="20" spans="1:6" x14ac:dyDescent="0.2">
      <c r="A20" s="2">
        <v>26</v>
      </c>
      <c r="B20" s="2">
        <v>21</v>
      </c>
      <c r="C20" s="2" t="s">
        <v>62</v>
      </c>
      <c r="D20" s="2" t="s">
        <v>58</v>
      </c>
      <c r="E20" s="2" t="s">
        <v>141</v>
      </c>
      <c r="F20">
        <f t="shared" si="0"/>
        <v>5</v>
      </c>
    </row>
    <row r="21" spans="1:6" x14ac:dyDescent="0.2">
      <c r="A21" s="3">
        <v>25</v>
      </c>
      <c r="B21" s="3">
        <v>20</v>
      </c>
      <c r="C21" s="3" t="s">
        <v>65</v>
      </c>
      <c r="D21" s="3" t="s">
        <v>60</v>
      </c>
      <c r="E21" s="3" t="s">
        <v>142</v>
      </c>
      <c r="F21">
        <f t="shared" si="0"/>
        <v>5</v>
      </c>
    </row>
    <row r="22" spans="1:6" x14ac:dyDescent="0.2">
      <c r="A22" s="2">
        <v>24</v>
      </c>
      <c r="B22" s="2">
        <v>19</v>
      </c>
      <c r="C22" s="2" t="s">
        <v>68</v>
      </c>
      <c r="D22" s="2" t="s">
        <v>63</v>
      </c>
      <c r="E22" s="2" t="s">
        <v>143</v>
      </c>
      <c r="F22">
        <f t="shared" si="0"/>
        <v>5</v>
      </c>
    </row>
    <row r="23" spans="1:6" x14ac:dyDescent="0.2">
      <c r="A23" s="3">
        <v>23</v>
      </c>
      <c r="B23" s="3">
        <v>18</v>
      </c>
      <c r="C23" s="3" t="s">
        <v>71</v>
      </c>
      <c r="D23" s="3" t="s">
        <v>66</v>
      </c>
      <c r="E23" s="3" t="s">
        <v>144</v>
      </c>
      <c r="F23">
        <f t="shared" si="0"/>
        <v>5</v>
      </c>
    </row>
    <row r="24" spans="1:6" x14ac:dyDescent="0.2">
      <c r="A24" s="2">
        <v>22</v>
      </c>
      <c r="B24" s="2">
        <v>18</v>
      </c>
      <c r="C24" s="2" t="s">
        <v>71</v>
      </c>
      <c r="D24" s="2" t="s">
        <v>69</v>
      </c>
      <c r="E24" s="2" t="s">
        <v>145</v>
      </c>
      <c r="F24">
        <f t="shared" si="0"/>
        <v>4</v>
      </c>
    </row>
    <row r="25" spans="1:6" x14ac:dyDescent="0.2">
      <c r="A25" s="3">
        <v>21</v>
      </c>
      <c r="B25" s="3">
        <v>17</v>
      </c>
      <c r="C25" s="3" t="s">
        <v>74</v>
      </c>
      <c r="D25" s="3" t="s">
        <v>72</v>
      </c>
      <c r="E25" s="3" t="s">
        <v>146</v>
      </c>
      <c r="F25">
        <f t="shared" si="0"/>
        <v>4</v>
      </c>
    </row>
    <row r="26" spans="1:6" x14ac:dyDescent="0.2">
      <c r="A26" s="2">
        <v>20</v>
      </c>
      <c r="B26" s="2">
        <v>16</v>
      </c>
      <c r="C26" s="2" t="s">
        <v>77</v>
      </c>
      <c r="D26" s="2" t="s">
        <v>75</v>
      </c>
      <c r="E26" s="2" t="s">
        <v>147</v>
      </c>
      <c r="F26">
        <f t="shared" si="0"/>
        <v>4</v>
      </c>
    </row>
    <row r="27" spans="1:6" x14ac:dyDescent="0.2">
      <c r="A27" s="3">
        <v>19</v>
      </c>
      <c r="B27" s="3">
        <v>15</v>
      </c>
      <c r="C27" s="3" t="s">
        <v>82</v>
      </c>
      <c r="D27" s="3" t="s">
        <v>78</v>
      </c>
      <c r="E27" s="3" t="s">
        <v>148</v>
      </c>
      <c r="F27">
        <f t="shared" si="0"/>
        <v>4</v>
      </c>
    </row>
    <row r="28" spans="1:6" x14ac:dyDescent="0.2">
      <c r="A28" s="2">
        <v>18</v>
      </c>
      <c r="B28" s="2">
        <v>14</v>
      </c>
      <c r="C28" s="2" t="s">
        <v>85</v>
      </c>
      <c r="D28" s="2" t="s">
        <v>80</v>
      </c>
      <c r="E28" s="2" t="s">
        <v>149</v>
      </c>
      <c r="F28">
        <f t="shared" si="0"/>
        <v>4</v>
      </c>
    </row>
    <row r="29" spans="1:6" x14ac:dyDescent="0.2">
      <c r="A29" s="3">
        <v>17</v>
      </c>
      <c r="B29" s="3">
        <v>14</v>
      </c>
      <c r="C29" s="3" t="s">
        <v>85</v>
      </c>
      <c r="D29" s="3" t="s">
        <v>83</v>
      </c>
      <c r="E29" s="3" t="s">
        <v>150</v>
      </c>
      <c r="F29">
        <f t="shared" si="0"/>
        <v>3</v>
      </c>
    </row>
    <row r="30" spans="1:6" x14ac:dyDescent="0.2">
      <c r="A30" s="2">
        <v>16</v>
      </c>
      <c r="B30" s="2">
        <v>13</v>
      </c>
      <c r="C30" s="2" t="s">
        <v>88</v>
      </c>
      <c r="D30" s="2" t="s">
        <v>86</v>
      </c>
      <c r="E30" s="2" t="s">
        <v>151</v>
      </c>
      <c r="F30">
        <f t="shared" si="0"/>
        <v>3</v>
      </c>
    </row>
    <row r="31" spans="1:6" x14ac:dyDescent="0.2">
      <c r="A31" s="3">
        <v>15</v>
      </c>
      <c r="B31" s="3">
        <v>12</v>
      </c>
      <c r="C31" s="3" t="s">
        <v>38</v>
      </c>
      <c r="D31" s="3" t="s">
        <v>89</v>
      </c>
      <c r="E31" s="3" t="s">
        <v>152</v>
      </c>
      <c r="F31">
        <f t="shared" si="0"/>
        <v>3</v>
      </c>
    </row>
    <row r="32" spans="1:6" x14ac:dyDescent="0.2">
      <c r="A32" s="2">
        <v>14</v>
      </c>
      <c r="B32" s="2">
        <v>11</v>
      </c>
      <c r="C32" s="2" t="s">
        <v>93</v>
      </c>
      <c r="D32" s="2" t="s">
        <v>91</v>
      </c>
      <c r="E32" s="2" t="s">
        <v>153</v>
      </c>
      <c r="F32">
        <f t="shared" si="0"/>
        <v>3</v>
      </c>
    </row>
    <row r="33" spans="1:6" x14ac:dyDescent="0.2">
      <c r="A33" s="3">
        <v>13</v>
      </c>
      <c r="B33" s="3">
        <v>10</v>
      </c>
      <c r="C33" s="3" t="s">
        <v>96</v>
      </c>
      <c r="D33" s="3" t="s">
        <v>94</v>
      </c>
      <c r="E33" s="3" t="s">
        <v>154</v>
      </c>
      <c r="F33">
        <f t="shared" si="0"/>
        <v>3</v>
      </c>
    </row>
    <row r="34" spans="1:6" x14ac:dyDescent="0.2">
      <c r="A34" s="2">
        <v>12</v>
      </c>
      <c r="B34" s="2">
        <v>10</v>
      </c>
      <c r="C34" s="2" t="s">
        <v>96</v>
      </c>
      <c r="D34" s="2" t="s">
        <v>97</v>
      </c>
      <c r="E34" s="2" t="s">
        <v>98</v>
      </c>
      <c r="F34">
        <f t="shared" si="0"/>
        <v>2</v>
      </c>
    </row>
    <row r="35" spans="1:6" x14ac:dyDescent="0.2">
      <c r="A35" s="3">
        <v>11</v>
      </c>
      <c r="B35" s="3">
        <v>9</v>
      </c>
      <c r="C35" s="3" t="s">
        <v>101</v>
      </c>
      <c r="D35" s="3" t="s">
        <v>99</v>
      </c>
      <c r="E35" s="3" t="s">
        <v>155</v>
      </c>
      <c r="F35">
        <f t="shared" si="0"/>
        <v>2</v>
      </c>
    </row>
    <row r="36" spans="1:6" x14ac:dyDescent="0.2">
      <c r="A36" s="2">
        <v>10</v>
      </c>
      <c r="B36" s="2">
        <v>8</v>
      </c>
      <c r="C36" s="2" t="s">
        <v>104</v>
      </c>
      <c r="D36" s="2" t="s">
        <v>102</v>
      </c>
      <c r="E36" s="2" t="s">
        <v>156</v>
      </c>
      <c r="F36">
        <f t="shared" si="0"/>
        <v>2</v>
      </c>
    </row>
    <row r="37" spans="1:6" x14ac:dyDescent="0.2">
      <c r="A37" s="3">
        <v>9</v>
      </c>
      <c r="B37" s="3">
        <v>7</v>
      </c>
      <c r="C37" s="3" t="s">
        <v>106</v>
      </c>
      <c r="D37" s="3" t="s">
        <v>105</v>
      </c>
      <c r="E37" s="3" t="s">
        <v>157</v>
      </c>
      <c r="F37">
        <f t="shared" si="0"/>
        <v>2</v>
      </c>
    </row>
    <row r="38" spans="1:6" x14ac:dyDescent="0.2">
      <c r="A38" s="2">
        <v>8</v>
      </c>
      <c r="B38" s="2">
        <v>6</v>
      </c>
      <c r="C38" s="2" t="s">
        <v>109</v>
      </c>
      <c r="D38" s="2" t="s">
        <v>107</v>
      </c>
      <c r="E38" s="2" t="s">
        <v>158</v>
      </c>
      <c r="F38">
        <f t="shared" si="0"/>
        <v>2</v>
      </c>
    </row>
    <row r="39" spans="1:6" x14ac:dyDescent="0.2">
      <c r="A39" s="3">
        <v>7</v>
      </c>
      <c r="B39" s="3">
        <v>6</v>
      </c>
      <c r="C39" s="3" t="s">
        <v>109</v>
      </c>
      <c r="D39" s="3" t="s">
        <v>110</v>
      </c>
      <c r="E39" s="3" t="s">
        <v>111</v>
      </c>
      <c r="F39">
        <f t="shared" si="0"/>
        <v>1</v>
      </c>
    </row>
    <row r="40" spans="1:6" x14ac:dyDescent="0.2">
      <c r="A40" s="2">
        <v>6</v>
      </c>
      <c r="B40" s="2">
        <v>5</v>
      </c>
      <c r="C40" s="2" t="s">
        <v>112</v>
      </c>
      <c r="D40" s="2" t="s">
        <v>113</v>
      </c>
      <c r="E40" s="2" t="s">
        <v>55</v>
      </c>
      <c r="F40">
        <f t="shared" si="0"/>
        <v>1</v>
      </c>
    </row>
    <row r="41" spans="1:6" x14ac:dyDescent="0.2">
      <c r="A41" s="3">
        <v>5</v>
      </c>
      <c r="B41" s="3">
        <v>4</v>
      </c>
      <c r="C41" s="3" t="s">
        <v>6</v>
      </c>
      <c r="D41" s="3" t="s">
        <v>114</v>
      </c>
      <c r="E41" s="3" t="s">
        <v>115</v>
      </c>
      <c r="F41">
        <f t="shared" si="0"/>
        <v>1</v>
      </c>
    </row>
    <row r="42" spans="1:6" x14ac:dyDescent="0.2">
      <c r="A42" s="2">
        <v>4</v>
      </c>
      <c r="B42" s="2">
        <v>3</v>
      </c>
      <c r="C42" s="2" t="s">
        <v>37</v>
      </c>
      <c r="D42" s="2" t="s">
        <v>116</v>
      </c>
      <c r="E42" s="2" t="s">
        <v>117</v>
      </c>
      <c r="F42">
        <f t="shared" si="0"/>
        <v>1</v>
      </c>
    </row>
    <row r="43" spans="1:6" x14ac:dyDescent="0.2">
      <c r="A43" s="3">
        <v>3</v>
      </c>
      <c r="B43" s="3">
        <v>2</v>
      </c>
      <c r="C43" s="3" t="s">
        <v>69</v>
      </c>
      <c r="D43" s="3" t="s">
        <v>118</v>
      </c>
      <c r="E43" s="3" t="s">
        <v>78</v>
      </c>
      <c r="F43">
        <f t="shared" si="0"/>
        <v>1</v>
      </c>
    </row>
    <row r="44" spans="1:6" x14ac:dyDescent="0.2">
      <c r="A44" s="2">
        <v>2</v>
      </c>
      <c r="B44" s="2">
        <v>2</v>
      </c>
      <c r="C44" s="2" t="s">
        <v>69</v>
      </c>
      <c r="D44" s="2" t="s">
        <v>119</v>
      </c>
      <c r="E44" s="2" t="s">
        <v>120</v>
      </c>
      <c r="F44">
        <f t="shared" si="0"/>
        <v>0</v>
      </c>
    </row>
    <row r="45" spans="1:6" x14ac:dyDescent="0.2">
      <c r="A45" s="3">
        <v>1</v>
      </c>
      <c r="B45" s="3">
        <v>1</v>
      </c>
      <c r="C45" s="3" t="s">
        <v>99</v>
      </c>
      <c r="D45" s="3" t="s">
        <v>121</v>
      </c>
      <c r="E45" s="3" t="s">
        <v>122</v>
      </c>
      <c r="F45">
        <f t="shared" si="0"/>
        <v>0</v>
      </c>
    </row>
    <row r="47" spans="1:6" x14ac:dyDescent="0.2">
      <c r="A47" s="7" t="s">
        <v>159</v>
      </c>
      <c r="B47" s="7"/>
      <c r="C47" s="7"/>
      <c r="D47" s="7"/>
      <c r="E47" s="7"/>
    </row>
  </sheetData>
  <mergeCells count="1">
    <mergeCell ref="A47:E47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5">
      <c r="A1" s="4" t="s">
        <v>160</v>
      </c>
    </row>
    <row r="3" spans="1:1" x14ac:dyDescent="0.2">
      <c r="A3" s="5" t="s">
        <v>161</v>
      </c>
    </row>
    <row r="4" spans="1:1" x14ac:dyDescent="0.2">
      <c r="A4" t="s">
        <v>162</v>
      </c>
    </row>
    <row r="5" spans="1:1" x14ac:dyDescent="0.2">
      <c r="A5" t="s">
        <v>163</v>
      </c>
    </row>
    <row r="7" spans="1:1" x14ac:dyDescent="0.2">
      <c r="A7" s="5" t="s">
        <v>164</v>
      </c>
    </row>
    <row r="8" spans="1:1" x14ac:dyDescent="0.2">
      <c r="A8" t="s">
        <v>165</v>
      </c>
    </row>
    <row r="9" spans="1:1" x14ac:dyDescent="0.2">
      <c r="A9" t="s">
        <v>166</v>
      </c>
    </row>
    <row r="10" spans="1:1" x14ac:dyDescent="0.2">
      <c r="A10" t="s">
        <v>167</v>
      </c>
    </row>
    <row r="12" spans="1:1" x14ac:dyDescent="0.2">
      <c r="A12" s="5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8" spans="1:1" x14ac:dyDescent="0.2">
      <c r="A18" s="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2019 (65-35)</vt:lpstr>
      <vt:lpstr>Tabla 2019 (60-40)</vt:lpstr>
      <vt:lpstr>Explicación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ANIBAL AGUAYO QUINTRIQUEO</cp:lastModifiedBy>
  <dcterms:created xsi:type="dcterms:W3CDTF">2026-01-01T09:12:28Z</dcterms:created>
  <dcterms:modified xsi:type="dcterms:W3CDTF">2026-01-02T12:23:18Z</dcterms:modified>
</cp:coreProperties>
</file>